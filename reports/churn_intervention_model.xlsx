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lacement Prep\Desktop\Project\1\retail-costumer-intelligence\reports\"/>
    </mc:Choice>
  </mc:AlternateContent>
  <xr:revisionPtr revIDLastSave="0" documentId="13_ncr:1_{5B126464-207E-4669-BA61-A776C8B682C2}" xr6:coauthVersionLast="47" xr6:coauthVersionMax="47" xr10:uidLastSave="{00000000-0000-0000-0000-000000000000}"/>
  <bookViews>
    <workbookView xWindow="-108" yWindow="-108" windowWidth="23256" windowHeight="12456" activeTab="1" xr2:uid="{00000000-000D-0000-FFFF-FFFF00000000}"/>
  </bookViews>
  <sheets>
    <sheet name="Assumptions" sheetId="1" r:id="rId1"/>
    <sheet name="Intervention ROI" sheetId="2" r:id="rId2"/>
    <sheet name="Sensitivity" sheetId="3" r:id="rId3"/>
    <sheet name="Risk Segmen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 l="1"/>
  <c r="H7" i="3" s="1"/>
  <c r="H8" i="3" s="1"/>
  <c r="H9" i="3" s="1"/>
  <c r="G6" i="3"/>
  <c r="G7" i="3" s="1"/>
  <c r="G8" i="3" s="1"/>
  <c r="G9" i="3" s="1"/>
  <c r="F6" i="3"/>
  <c r="F7" i="3" s="1"/>
  <c r="F8" i="3" s="1"/>
  <c r="F9" i="3" s="1"/>
  <c r="E6" i="3"/>
  <c r="E7" i="3" s="1"/>
  <c r="E8" i="3" s="1"/>
  <c r="E9" i="3" s="1"/>
  <c r="D6" i="3"/>
  <c r="D7" i="3" s="1"/>
  <c r="D8" i="3" s="1"/>
  <c r="D9" i="3" s="1"/>
  <c r="C6" i="3"/>
  <c r="C7" i="3" s="1"/>
  <c r="C8" i="3" s="1"/>
  <c r="C9" i="3" s="1"/>
  <c r="B6" i="3"/>
  <c r="B7" i="3" s="1"/>
  <c r="B8" i="3" s="1"/>
  <c r="B9" i="3" s="1"/>
  <c r="D14" i="2"/>
  <c r="C14" i="2"/>
  <c r="B14" i="2"/>
  <c r="D6" i="2"/>
  <c r="C6" i="2"/>
  <c r="B6" i="2"/>
  <c r="D5" i="2"/>
  <c r="C5" i="2"/>
  <c r="B5" i="2"/>
  <c r="D12" i="2" l="1"/>
  <c r="D7" i="2"/>
  <c r="D8" i="2" s="1"/>
  <c r="D10" i="2"/>
  <c r="C12" i="2"/>
  <c r="C10" i="2"/>
  <c r="C7" i="2"/>
  <c r="C8" i="2" s="1"/>
  <c r="B12" i="2"/>
  <c r="B7" i="2"/>
  <c r="B8" i="2" s="1"/>
  <c r="B10" i="2"/>
  <c r="D9" i="2" l="1"/>
  <c r="D11" i="2" s="1"/>
  <c r="D13" i="2" s="1"/>
  <c r="C9" i="2"/>
  <c r="C11" i="2" s="1"/>
  <c r="C13" i="2" s="1"/>
  <c r="B9" i="2"/>
  <c r="B11" i="2"/>
  <c r="B13" i="2" s="1"/>
</calcChain>
</file>

<file path=xl/sharedStrings.xml><?xml version="1.0" encoding="utf-8"?>
<sst xmlns="http://schemas.openxmlformats.org/spreadsheetml/2006/main" count="81" uniqueCount="78">
  <si>
    <t>MODEL ASSUMPTIONS  —  edit the blue cells, everything recalculates</t>
  </si>
  <si>
    <t>Parameter</t>
  </si>
  <si>
    <t>Value</t>
  </si>
  <si>
    <t>Source / Justification</t>
  </si>
  <si>
    <t>Total customers scored</t>
  </si>
  <si>
    <t>Output of the Random Forest churn model</t>
  </si>
  <si>
    <t>High-risk customers</t>
  </si>
  <si>
    <t>Predicted churn probability &gt; 0.70</t>
  </si>
  <si>
    <t>Avg annual spend, at-risk seg.</t>
  </si>
  <si>
    <t>Mean historical spend of the high-risk cohort</t>
  </si>
  <si>
    <t>Total revenue at risk</t>
  </si>
  <si>
    <t>Sum of historical spend across high-risk customers</t>
  </si>
  <si>
    <t>Campaign cost per customer</t>
  </si>
  <si>
    <t>ASSUMPTION: email + offer fulfilment cost</t>
  </si>
  <si>
    <t>Win-back success rate (base)</t>
  </si>
  <si>
    <t>ASSUMPTION: industry benchmark for retail win-back</t>
  </si>
  <si>
    <t>Discount offered to re-engage</t>
  </si>
  <si>
    <t>ASSUMPTION: margin given up to trigger return</t>
  </si>
  <si>
    <t>Conservative success rate</t>
  </si>
  <si>
    <t>ASSUMPTION: downside scenario</t>
  </si>
  <si>
    <t>Optimistic success rate</t>
  </si>
  <si>
    <t>ASSUMPTION: upside scenario</t>
  </si>
  <si>
    <t>Grey rows are computed from the model output. Blue rows are business assumptions chosen by the analyst — change them and every sheet updates.</t>
  </si>
  <si>
    <t>WIN-BACK CAMPAIGN  —  ROI MODEL</t>
  </si>
  <si>
    <t>Question: is it worth running a win-back campaign against the high-risk cohort, and what success rate does it need to break even?</t>
  </si>
  <si>
    <t>Metric</t>
  </si>
  <si>
    <t>Conservative</t>
  </si>
  <si>
    <t>Base Case</t>
  </si>
  <si>
    <t>Optimistic</t>
  </si>
  <si>
    <t>Notes</t>
  </si>
  <si>
    <t>Customers targeted</t>
  </si>
  <si>
    <t>Entire high-risk cohort</t>
  </si>
  <si>
    <t>Assumed success rate</t>
  </si>
  <si>
    <t>Share of contacted customers who return</t>
  </si>
  <si>
    <t>Expected customers recovered</t>
  </si>
  <si>
    <t>Targeted x success rate</t>
  </si>
  <si>
    <t>Gross revenue recovered</t>
  </si>
  <si>
    <t>Recovered customers x avg annual spend</t>
  </si>
  <si>
    <t>Less: discount given</t>
  </si>
  <si>
    <t>Margin sacrificed to trigger return</t>
  </si>
  <si>
    <t>Less: campaign cost</t>
  </si>
  <si>
    <t>Cost of contacting every targeted customer</t>
  </si>
  <si>
    <t>Net benefit</t>
  </si>
  <si>
    <t>Revenue recovered minus all costs</t>
  </si>
  <si>
    <t>Total campaign cost</t>
  </si>
  <si>
    <t>Denominator for ROI</t>
  </si>
  <si>
    <t>ROI</t>
  </si>
  <si>
    <t>Net benefit / campaign spend</t>
  </si>
  <si>
    <t>Break-even success rate</t>
  </si>
  <si>
    <t>Minimum success rate for the campaign to pay for itself</t>
  </si>
  <si>
    <t>HOW TO READ THIS: The break-even success rate is the single most useful number here. If the campaign can realistically beat it, the campaign is worth running. If it cannot, the correct decision is not to run it — the model's value is telling you that before you spend the budget, not after.</t>
  </si>
  <si>
    <t>SENSITIVITY  —  NET BENEFIT ACROSS SUCCESS RATES</t>
  </si>
  <si>
    <t>The base case assumes one success rate. This grid shows what happens across the plausible range, so the decision isn't hostage to a single assumption.</t>
  </si>
  <si>
    <t>Success rate →</t>
  </si>
  <si>
    <t>5%</t>
  </si>
  <si>
    <t>10%</t>
  </si>
  <si>
    <t>15%</t>
  </si>
  <si>
    <t>20%</t>
  </si>
  <si>
    <t>25%</t>
  </si>
  <si>
    <t>30%</t>
  </si>
  <si>
    <t>40%</t>
  </si>
  <si>
    <t>Rate</t>
  </si>
  <si>
    <t>Customers recovered</t>
  </si>
  <si>
    <t>Read across the 'Net benefit' row to find where it crosses zero. That crossing point is the break-even success rate — everything to the right is profitable, everything to the left destroys value.</t>
  </si>
  <si>
    <t>CUSTOMER BASE BY CHURN RISK BAND</t>
  </si>
  <si>
    <t>Risk Band</t>
  </si>
  <si>
    <t>Customers</t>
  </si>
  <si>
    <t>% of Base</t>
  </si>
  <si>
    <t>Revenue Represented</t>
  </si>
  <si>
    <t>Avg Spend</t>
  </si>
  <si>
    <t>Recommended Action</t>
  </si>
  <si>
    <t>High</t>
  </si>
  <si>
    <t>Targeted win-back campaign — highest urgency</t>
  </si>
  <si>
    <t>Medium</t>
  </si>
  <si>
    <t>Monitor; low-cost re-engagement (newsletter, offers)</t>
  </si>
  <si>
    <t>Low</t>
  </si>
  <si>
    <t>No intervention needed — protect via normal service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</si>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</sst>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3"/>
      <color rgb="FFFFFFFF"/>
      <name val="Calibri"/>
    </font>
    <font>
      <b/>
      <sz val="10"/>
      <color rgb="FFFFFFFF"/>
      <name val="Calibri"/>
    </font>
    <font>
      <b/>
      <sz val="10"/>
      <name val="Calibri"/>
    </font>
    <font>
      <sz val="10"/>
      <name val="Calibri"/>
    </font>
    <font>
      <i/>
      <sz val="9"/>
      <color rgb="FF475569"/>
      <name val="Calibri"/>
    </font>
    <font>
      <i/>
      <sz val="9"/>
      <color rgb="FF374151"/>
      <name val="Calibri"/>
    </font>
  </fonts>
  <fills count="12">
    <fill>
      <patternFill patternType="none"/>
    </fill>
    <fill>
      <patternFill patternType="gray125"/>
    </fill>
    <fill>
      <patternFill patternType="solid">
        <fgColor rgb="FF0F172A"/>
      </patternFill>
    </fill>
    <fill>
      <patternFill patternType="solid">
        <fgColor rgb="FF1E293B"/>
      </patternFill>
    </fill>
    <fill>
      <patternFill patternType="solid">
        <fgColor rgb="FFF8FAFC"/>
      </patternFill>
    </fill>
    <fill>
      <patternFill patternType="solid">
        <fgColor rgb="FFDBEAFE"/>
      </patternFill>
    </fill>
    <fill>
      <patternFill patternType="solid">
        <fgColor rgb="FFFEF3C7"/>
      </patternFill>
    </fill>
    <fill>
      <patternFill patternType="solid">
        <fgColor rgb="FFDCFCE7"/>
      </patternFill>
    </fill>
    <fill>
      <patternFill patternType="solid">
        <fgColor rgb="FFEDE9FE"/>
      </patternFill>
    </fill>
    <fill>
      <patternFill patternType="solid">
        <fgColor rgb="FFF1F5F9"/>
      </patternFill>
    </fill>
    <fill>
      <patternFill patternType="solid">
        <fgColor rgb="FFFEE2E2"/>
      </patternFill>
    </fill>
    <fill>
      <patternFill patternType="solid">
        <fgColor rgb="FFE2E8F0"/>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4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xf>
    <xf numFmtId="1" fontId="3" fillId="4" borderId="1" xfId="0" applyNumberFormat="1" applyFont="1" applyFill="1" applyBorder="1" applyAlignment="1">
      <alignment horizontal="center" vertical="center"/>
    </xf>
    <xf numFmtId="0" fontId="4" fillId="4" borderId="1" xfId="0" applyFont="1" applyFill="1" applyBorder="1" applyAlignment="1">
      <alignment horizontal="left" vertical="center"/>
    </xf>
    <xf numFmtId="4" fontId="3" fillId="4" borderId="1" xfId="0" applyNumberFormat="1" applyFont="1" applyFill="1" applyBorder="1" applyAlignment="1">
      <alignment horizontal="center" vertical="center"/>
    </xf>
    <xf numFmtId="0" fontId="3" fillId="5" borderId="1" xfId="0" applyFont="1" applyFill="1" applyBorder="1" applyAlignment="1">
      <alignment horizontal="left" vertical="center"/>
    </xf>
    <xf numFmtId="4" fontId="3"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164" fontId="3" fillId="5" borderId="1"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3" fillId="6" borderId="1" xfId="0" applyFont="1" applyFill="1" applyBorder="1" applyAlignment="1">
      <alignment horizontal="left" vertical="center"/>
    </xf>
    <xf numFmtId="3" fontId="4" fillId="6" borderId="1" xfId="0" applyNumberFormat="1" applyFont="1" applyFill="1" applyBorder="1" applyAlignment="1">
      <alignment horizontal="center" vertical="center"/>
    </xf>
    <xf numFmtId="0" fontId="4" fillId="6" borderId="1" xfId="0" applyFont="1" applyFill="1" applyBorder="1" applyAlignment="1">
      <alignment horizontal="left" vertical="center"/>
    </xf>
    <xf numFmtId="0" fontId="3" fillId="7" borderId="1" xfId="0" applyFont="1" applyFill="1" applyBorder="1" applyAlignment="1">
      <alignment horizontal="left" vertical="center"/>
    </xf>
    <xf numFmtId="3" fontId="3" fillId="7" borderId="1" xfId="0" applyNumberFormat="1" applyFont="1" applyFill="1" applyBorder="1" applyAlignment="1">
      <alignment horizontal="center" vertical="center"/>
    </xf>
    <xf numFmtId="0" fontId="4" fillId="7" borderId="1" xfId="0" applyFont="1" applyFill="1" applyBorder="1" applyAlignment="1">
      <alignment horizontal="left" vertical="center"/>
    </xf>
    <xf numFmtId="164" fontId="3" fillId="7" borderId="1" xfId="0" applyNumberFormat="1" applyFont="1" applyFill="1" applyBorder="1" applyAlignment="1">
      <alignment horizontal="center" vertical="center"/>
    </xf>
    <xf numFmtId="0" fontId="3" fillId="8" borderId="1" xfId="0" applyFont="1" applyFill="1" applyBorder="1" applyAlignment="1">
      <alignment horizontal="left" vertical="center"/>
    </xf>
    <xf numFmtId="10" fontId="4" fillId="8" borderId="1" xfId="0" applyNumberFormat="1" applyFont="1" applyFill="1" applyBorder="1" applyAlignment="1">
      <alignment horizontal="center" vertical="center"/>
    </xf>
    <xf numFmtId="0" fontId="4" fillId="8" borderId="1" xfId="0" applyFont="1" applyFill="1" applyBorder="1" applyAlignment="1">
      <alignment horizontal="left" vertical="center"/>
    </xf>
    <xf numFmtId="0" fontId="3" fillId="9" borderId="1" xfId="0" applyFont="1" applyFill="1" applyBorder="1" applyAlignment="1">
      <alignment horizontal="left" vertical="center"/>
    </xf>
    <xf numFmtId="9" fontId="4" fillId="9" borderId="1" xfId="0" applyNumberFormat="1" applyFont="1" applyFill="1" applyBorder="1" applyAlignment="1">
      <alignment horizontal="center" vertical="center"/>
    </xf>
    <xf numFmtId="3" fontId="4" fillId="7" borderId="1" xfId="0" applyNumberFormat="1" applyFont="1" applyFill="1" applyBorder="1" applyAlignment="1">
      <alignment horizontal="center" vertical="center"/>
    </xf>
    <xf numFmtId="164" fontId="4" fillId="7" borderId="1" xfId="0" applyNumberFormat="1" applyFont="1" applyFill="1" applyBorder="1" applyAlignment="1">
      <alignment horizontal="center" vertical="center"/>
    </xf>
    <xf numFmtId="0" fontId="3" fillId="10" borderId="1" xfId="0" applyFont="1" applyFill="1" applyBorder="1" applyAlignment="1">
      <alignment horizontal="left" vertical="center"/>
    </xf>
    <xf numFmtId="3" fontId="4" fillId="10" borderId="1" xfId="0" applyNumberFormat="1" applyFont="1" applyFill="1" applyBorder="1" applyAlignment="1">
      <alignment horizontal="center" vertical="center"/>
    </xf>
    <xf numFmtId="164" fontId="4" fillId="10" borderId="1" xfId="0" applyNumberFormat="1" applyFont="1" applyFill="1" applyBorder="1" applyAlignment="1">
      <alignment horizontal="center" vertical="center"/>
    </xf>
    <xf numFmtId="0" fontId="4" fillId="10" borderId="1" xfId="0" applyFont="1" applyFill="1" applyBorder="1" applyAlignment="1">
      <alignment horizontal="left" vertical="center"/>
    </xf>
    <xf numFmtId="164" fontId="4" fillId="6"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3" fontId="3" fillId="11" borderId="1" xfId="0" applyNumberFormat="1" applyFont="1" applyFill="1" applyBorder="1" applyAlignment="1">
      <alignment horizontal="center" vertical="center"/>
    </xf>
    <xf numFmtId="164" fontId="3"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5" fillId="6" borderId="0" xfId="0" applyFont="1" applyFill="1" applyAlignment="1">
      <alignment horizontal="left" vertical="center" wrapText="1"/>
    </xf>
    <xf numFmtId="0" fontId="6" fillId="4" borderId="0" xfId="0" applyFont="1" applyFill="1" applyAlignment="1">
      <alignment horizontal="left" vertical="center" wrapText="1"/>
    </xf>
    <xf numFmtId="0" fontId="6" fillId="6"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election sqref="A1:C1"/>
    </sheetView>
  </sheetViews>
  <sheetFormatPr defaultRowHeight="14.4" x14ac:dyDescent="0.3"/>
  <cols>
    <col min="1" max="1" width="42" customWidth="1"/>
    <col min="2" max="2" width="18" customWidth="1"/>
    <col min="3" max="3" width="52" customWidth="1"/>
  </cols>
  <sheetData>
    <row r="1" spans="1:3" ht="25.95" customHeight="1" x14ac:dyDescent="0.3">
      <c r="A1" s="35" t="s">
        <v>0</v>
      </c>
      <c r="B1" s="36"/>
      <c r="C1" s="36"/>
    </row>
    <row r="3" spans="1:3" ht="24" customHeight="1" x14ac:dyDescent="0.3">
      <c r="A3" s="1" t="s">
        <v>1</v>
      </c>
      <c r="B3" s="1" t="s">
        <v>2</v>
      </c>
      <c r="C3" s="1" t="s">
        <v>3</v>
      </c>
    </row>
    <row r="4" spans="1:3" ht="18" customHeight="1" x14ac:dyDescent="0.3">
      <c r="A4" s="2" t="s">
        <v>4</v>
      </c>
      <c r="B4" s="3">
        <v>5265</v>
      </c>
      <c r="C4" s="4" t="s">
        <v>5</v>
      </c>
    </row>
    <row r="5" spans="1:3" ht="18" customHeight="1" x14ac:dyDescent="0.3">
      <c r="A5" s="2" t="s">
        <v>6</v>
      </c>
      <c r="B5" s="3">
        <v>2561</v>
      </c>
      <c r="C5" s="4" t="s">
        <v>7</v>
      </c>
    </row>
    <row r="6" spans="1:3" ht="18" customHeight="1" x14ac:dyDescent="0.3">
      <c r="A6" s="2" t="s">
        <v>8</v>
      </c>
      <c r="B6" s="5">
        <v>934.67257321358841</v>
      </c>
      <c r="C6" s="4" t="s">
        <v>9</v>
      </c>
    </row>
    <row r="7" spans="1:3" ht="18" customHeight="1" x14ac:dyDescent="0.3">
      <c r="A7" s="2" t="s">
        <v>10</v>
      </c>
      <c r="B7" s="5">
        <v>2393696.46</v>
      </c>
      <c r="C7" s="4" t="s">
        <v>11</v>
      </c>
    </row>
    <row r="8" spans="1:3" ht="18" customHeight="1" x14ac:dyDescent="0.3">
      <c r="A8" s="6" t="s">
        <v>12</v>
      </c>
      <c r="B8" s="7">
        <v>15</v>
      </c>
      <c r="C8" s="8" t="s">
        <v>13</v>
      </c>
    </row>
    <row r="9" spans="1:3" ht="18" customHeight="1" x14ac:dyDescent="0.3">
      <c r="A9" s="6" t="s">
        <v>14</v>
      </c>
      <c r="B9" s="9">
        <v>0.25</v>
      </c>
      <c r="C9" s="8" t="s">
        <v>15</v>
      </c>
    </row>
    <row r="10" spans="1:3" ht="18" customHeight="1" x14ac:dyDescent="0.3">
      <c r="A10" s="6" t="s">
        <v>16</v>
      </c>
      <c r="B10" s="9">
        <v>0.1</v>
      </c>
      <c r="C10" s="8" t="s">
        <v>17</v>
      </c>
    </row>
    <row r="11" spans="1:3" ht="18" customHeight="1" x14ac:dyDescent="0.3">
      <c r="A11" s="6" t="s">
        <v>18</v>
      </c>
      <c r="B11" s="9">
        <v>0.15</v>
      </c>
      <c r="C11" s="8" t="s">
        <v>19</v>
      </c>
    </row>
    <row r="12" spans="1:3" ht="18" customHeight="1" x14ac:dyDescent="0.3">
      <c r="A12" s="6" t="s">
        <v>20</v>
      </c>
      <c r="B12" s="9">
        <v>0.35</v>
      </c>
      <c r="C12" s="8" t="s">
        <v>21</v>
      </c>
    </row>
    <row r="14" spans="1:3" ht="28.05" customHeight="1" x14ac:dyDescent="0.3">
      <c r="A14" s="37" t="s">
        <v>22</v>
      </c>
      <c r="B14" s="36"/>
      <c r="C14" s="36"/>
    </row>
  </sheetData>
  <mergeCells count="2">
    <mergeCell ref="A1:C1"/>
    <mergeCell ref="A14:C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abSelected="1" workbookViewId="0">
      <selection activeCell="J8" sqref="J8"/>
    </sheetView>
  </sheetViews>
  <sheetFormatPr defaultRowHeight="14.4" x14ac:dyDescent="0.3"/>
  <cols>
    <col min="1" max="1" width="40" customWidth="1"/>
    <col min="2" max="4" width="20" customWidth="1"/>
    <col min="5" max="5" width="34" customWidth="1"/>
  </cols>
  <sheetData>
    <row r="1" spans="1:5" ht="25.95" customHeight="1" x14ac:dyDescent="0.3">
      <c r="A1" s="35" t="s">
        <v>23</v>
      </c>
      <c r="B1" s="36"/>
      <c r="C1" s="36"/>
      <c r="D1" s="36"/>
      <c r="E1" s="36"/>
    </row>
    <row r="2" spans="1:5" ht="22.05" customHeight="1" x14ac:dyDescent="0.3">
      <c r="A2" s="38" t="s">
        <v>24</v>
      </c>
      <c r="B2" s="36"/>
      <c r="C2" s="36"/>
      <c r="D2" s="36"/>
      <c r="E2" s="36"/>
    </row>
    <row r="4" spans="1:5" ht="24" customHeight="1" x14ac:dyDescent="0.3">
      <c r="A4" s="1" t="s">
        <v>25</v>
      </c>
      <c r="B4" s="1" t="s">
        <v>26</v>
      </c>
      <c r="C4" s="1" t="s">
        <v>27</v>
      </c>
      <c r="D4" s="1" t="s">
        <v>28</v>
      </c>
      <c r="E4" s="1" t="s">
        <v>29</v>
      </c>
    </row>
    <row r="5" spans="1:5" ht="18" customHeight="1" x14ac:dyDescent="0.3">
      <c r="A5" s="2" t="s">
        <v>30</v>
      </c>
      <c r="B5" s="10">
        <f>Assumptions!$B$5</f>
        <v>2561</v>
      </c>
      <c r="C5" s="10">
        <f>Assumptions!$B$5</f>
        <v>2561</v>
      </c>
      <c r="D5" s="10">
        <f>Assumptions!$B$5</f>
        <v>2561</v>
      </c>
      <c r="E5" s="4" t="s">
        <v>31</v>
      </c>
    </row>
    <row r="6" spans="1:5" ht="18" customHeight="1" x14ac:dyDescent="0.3">
      <c r="A6" s="6" t="s">
        <v>32</v>
      </c>
      <c r="B6" s="11">
        <f>Assumptions!$B$11</f>
        <v>0.15</v>
      </c>
      <c r="C6" s="11">
        <f>Assumptions!$B$9</f>
        <v>0.25</v>
      </c>
      <c r="D6" s="11">
        <f>Assumptions!$B$12</f>
        <v>0.35</v>
      </c>
      <c r="E6" s="8" t="s">
        <v>33</v>
      </c>
    </row>
    <row r="7" spans="1:5" ht="18" customHeight="1" x14ac:dyDescent="0.3">
      <c r="A7" s="2" t="s">
        <v>34</v>
      </c>
      <c r="B7" s="10">
        <f>B5*B6</f>
        <v>384.15</v>
      </c>
      <c r="C7" s="10">
        <f>C5*C6</f>
        <v>640.25</v>
      </c>
      <c r="D7" s="10">
        <f>D5*D6</f>
        <v>896.34999999999991</v>
      </c>
      <c r="E7" s="4" t="s">
        <v>35</v>
      </c>
    </row>
    <row r="8" spans="1:5" ht="18" customHeight="1" x14ac:dyDescent="0.3">
      <c r="A8" s="2" t="s">
        <v>36</v>
      </c>
      <c r="B8" s="10">
        <f>B7*Assumptions!$B$6</f>
        <v>359054.46899999998</v>
      </c>
      <c r="C8" s="10">
        <f>C7*Assumptions!$B$6</f>
        <v>598424.11499999999</v>
      </c>
      <c r="D8" s="10">
        <f>D7*Assumptions!$B$6</f>
        <v>837793.76099999994</v>
      </c>
      <c r="E8" s="4" t="s">
        <v>37</v>
      </c>
    </row>
    <row r="9" spans="1:5" ht="18" customHeight="1" x14ac:dyDescent="0.3">
      <c r="A9" s="12" t="s">
        <v>38</v>
      </c>
      <c r="B9" s="13">
        <f>-B8*Assumptions!$B$10</f>
        <v>-35905.446900000003</v>
      </c>
      <c r="C9" s="13">
        <f>-C8*Assumptions!$B$10</f>
        <v>-59842.411500000002</v>
      </c>
      <c r="D9" s="13">
        <f>-D8*Assumptions!$B$10</f>
        <v>-83779.376099999994</v>
      </c>
      <c r="E9" s="14" t="s">
        <v>39</v>
      </c>
    </row>
    <row r="10" spans="1:5" ht="18" customHeight="1" x14ac:dyDescent="0.3">
      <c r="A10" s="12" t="s">
        <v>40</v>
      </c>
      <c r="B10" s="13">
        <f>-B5*Assumptions!$B$8</f>
        <v>-38415</v>
      </c>
      <c r="C10" s="13">
        <f>-C5*Assumptions!$B$8</f>
        <v>-38415</v>
      </c>
      <c r="D10" s="13">
        <f>-D5*Assumptions!$B$8</f>
        <v>-38415</v>
      </c>
      <c r="E10" s="14" t="s">
        <v>41</v>
      </c>
    </row>
    <row r="11" spans="1:5" ht="18" customHeight="1" x14ac:dyDescent="0.3">
      <c r="A11" s="15" t="s">
        <v>42</v>
      </c>
      <c r="B11" s="16">
        <f>B8+B9+B10</f>
        <v>284734.0221</v>
      </c>
      <c r="C11" s="16">
        <f>C8+C9+C10</f>
        <v>500166.70349999995</v>
      </c>
      <c r="D11" s="16">
        <f>D8+D9+D10</f>
        <v>715599.38489999995</v>
      </c>
      <c r="E11" s="17" t="s">
        <v>43</v>
      </c>
    </row>
    <row r="12" spans="1:5" ht="18" customHeight="1" x14ac:dyDescent="0.3">
      <c r="A12" s="2" t="s">
        <v>44</v>
      </c>
      <c r="B12" s="10">
        <f>B5*Assumptions!$B$8</f>
        <v>38415</v>
      </c>
      <c r="C12" s="10">
        <f>C5*Assumptions!$B$8</f>
        <v>38415</v>
      </c>
      <c r="D12" s="10">
        <f>D5*Assumptions!$B$8</f>
        <v>38415</v>
      </c>
      <c r="E12" s="4" t="s">
        <v>45</v>
      </c>
    </row>
    <row r="13" spans="1:5" ht="18" customHeight="1" x14ac:dyDescent="0.3">
      <c r="A13" s="15" t="s">
        <v>46</v>
      </c>
      <c r="B13" s="18">
        <f>B11/B12</f>
        <v>7.412053158922296</v>
      </c>
      <c r="C13" s="18">
        <f>C11/C12</f>
        <v>13.020088598203825</v>
      </c>
      <c r="D13" s="18">
        <f>D11/D12</f>
        <v>18.628124037485357</v>
      </c>
      <c r="E13" s="17" t="s">
        <v>47</v>
      </c>
    </row>
    <row r="14" spans="1:5" ht="18" customHeight="1" x14ac:dyDescent="0.3">
      <c r="A14" s="19" t="s">
        <v>48</v>
      </c>
      <c r="B14" s="20">
        <f>Assumptions!$B$8/(Assumptions!$B$6*(1-Assumptions!$B$10))</f>
        <v>1.7831556359210781E-2</v>
      </c>
      <c r="C14" s="20">
        <f>Assumptions!$B$8/(Assumptions!$B$6*(1-Assumptions!$B$10))</f>
        <v>1.7831556359210781E-2</v>
      </c>
      <c r="D14" s="20">
        <f>Assumptions!$B$8/(Assumptions!$B$6*(1-Assumptions!$B$10))</f>
        <v>1.7831556359210781E-2</v>
      </c>
      <c r="E14" s="21" t="s">
        <v>49</v>
      </c>
    </row>
    <row r="16" spans="1:5" x14ac:dyDescent="0.3">
      <c r="A16" s="39" t="s">
        <v>50</v>
      </c>
      <c r="B16" s="36"/>
      <c r="C16" s="36"/>
      <c r="D16" s="36"/>
      <c r="E16" s="36"/>
    </row>
    <row r="17" spans="1:5" x14ac:dyDescent="0.3">
      <c r="A17" s="36"/>
      <c r="B17" s="36"/>
      <c r="C17" s="36"/>
      <c r="D17" s="36"/>
      <c r="E17" s="36"/>
    </row>
  </sheetData>
  <mergeCells count="3">
    <mergeCell ref="A2:E2"/>
    <mergeCell ref="A1:E1"/>
    <mergeCell ref="A16:E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workbookViewId="0"/>
  </sheetViews>
  <sheetFormatPr defaultRowHeight="14.4" x14ac:dyDescent="0.3"/>
  <cols>
    <col min="1" max="1" width="26" customWidth="1"/>
    <col min="2" max="8" width="16" customWidth="1"/>
  </cols>
  <sheetData>
    <row r="1" spans="1:8" ht="25.95" customHeight="1" x14ac:dyDescent="0.3">
      <c r="A1" s="35" t="s">
        <v>51</v>
      </c>
      <c r="B1" s="36"/>
      <c r="C1" s="36"/>
      <c r="D1" s="36"/>
      <c r="E1" s="36"/>
      <c r="F1" s="36"/>
      <c r="G1" s="36"/>
      <c r="H1" s="36"/>
    </row>
    <row r="2" spans="1:8" ht="22.05" customHeight="1" x14ac:dyDescent="0.3">
      <c r="A2" s="38" t="s">
        <v>52</v>
      </c>
      <c r="B2" s="36"/>
      <c r="C2" s="36"/>
      <c r="D2" s="36"/>
      <c r="E2" s="36"/>
      <c r="F2" s="36"/>
      <c r="G2" s="36"/>
      <c r="H2" s="36"/>
    </row>
    <row r="4" spans="1:8" ht="24" customHeight="1" x14ac:dyDescent="0.3">
      <c r="A4" s="1" t="s">
        <v>53</v>
      </c>
      <c r="B4" s="1" t="s">
        <v>54</v>
      </c>
      <c r="C4" s="1" t="s">
        <v>55</v>
      </c>
      <c r="D4" s="1" t="s">
        <v>56</v>
      </c>
      <c r="E4" s="1" t="s">
        <v>57</v>
      </c>
      <c r="F4" s="1" t="s">
        <v>58</v>
      </c>
      <c r="G4" s="1" t="s">
        <v>59</v>
      </c>
      <c r="H4" s="1" t="s">
        <v>60</v>
      </c>
    </row>
    <row r="5" spans="1:8" x14ac:dyDescent="0.3">
      <c r="A5" s="22" t="s">
        <v>61</v>
      </c>
      <c r="B5" s="23">
        <v>0.05</v>
      </c>
      <c r="C5" s="23">
        <v>0.1</v>
      </c>
      <c r="D5" s="23">
        <v>0.15</v>
      </c>
      <c r="E5" s="23">
        <v>0.2</v>
      </c>
      <c r="F5" s="23">
        <v>0.25</v>
      </c>
      <c r="G5" s="23">
        <v>0.3</v>
      </c>
      <c r="H5" s="23">
        <v>0.4</v>
      </c>
    </row>
    <row r="6" spans="1:8" ht="18" customHeight="1" x14ac:dyDescent="0.3">
      <c r="A6" s="2" t="s">
        <v>62</v>
      </c>
      <c r="B6" s="10">
        <f>Assumptions!$B$5*B5</f>
        <v>128.05000000000001</v>
      </c>
      <c r="C6" s="10">
        <f>Assumptions!$B$5*C5</f>
        <v>256.10000000000002</v>
      </c>
      <c r="D6" s="10">
        <f>Assumptions!$B$5*D5</f>
        <v>384.15</v>
      </c>
      <c r="E6" s="10">
        <f>Assumptions!$B$5*E5</f>
        <v>512.20000000000005</v>
      </c>
      <c r="F6" s="10">
        <f>Assumptions!$B$5*F5</f>
        <v>640.25</v>
      </c>
      <c r="G6" s="10">
        <f>Assumptions!$B$5*G5</f>
        <v>768.3</v>
      </c>
      <c r="H6" s="10">
        <f>Assumptions!$B$5*H5</f>
        <v>1024.4000000000001</v>
      </c>
    </row>
    <row r="7" spans="1:8" ht="18" customHeight="1" x14ac:dyDescent="0.3">
      <c r="A7" s="2" t="s">
        <v>36</v>
      </c>
      <c r="B7" s="10">
        <f>B6*Assumptions!$B$6</f>
        <v>119684.823</v>
      </c>
      <c r="C7" s="10">
        <f>C6*Assumptions!$B$6</f>
        <v>239369.64600000001</v>
      </c>
      <c r="D7" s="10">
        <f>D6*Assumptions!$B$6</f>
        <v>359054.46899999998</v>
      </c>
      <c r="E7" s="10">
        <f>E6*Assumptions!$B$6</f>
        <v>478739.29200000002</v>
      </c>
      <c r="F7" s="10">
        <f>F6*Assumptions!$B$6</f>
        <v>598424.11499999999</v>
      </c>
      <c r="G7" s="10">
        <f>G6*Assumptions!$B$6</f>
        <v>718108.93799999997</v>
      </c>
      <c r="H7" s="10">
        <f>H6*Assumptions!$B$6</f>
        <v>957478.58400000003</v>
      </c>
    </row>
    <row r="8" spans="1:8" ht="18" customHeight="1" x14ac:dyDescent="0.3">
      <c r="A8" s="15" t="s">
        <v>42</v>
      </c>
      <c r="B8" s="24">
        <f>B7*(1-Assumptions!$B$10)-Assumptions!$B$5*Assumptions!$B$8</f>
        <v>69301.340700000001</v>
      </c>
      <c r="C8" s="24">
        <f>C7*(1-Assumptions!$B$10)-Assumptions!$B$5*Assumptions!$B$8</f>
        <v>177017.6814</v>
      </c>
      <c r="D8" s="24">
        <f>D7*(1-Assumptions!$B$10)-Assumptions!$B$5*Assumptions!$B$8</f>
        <v>284734.0221</v>
      </c>
      <c r="E8" s="24">
        <f>E7*(1-Assumptions!$B$10)-Assumptions!$B$5*Assumptions!$B$8</f>
        <v>392450.3628</v>
      </c>
      <c r="F8" s="24">
        <f>F7*(1-Assumptions!$B$10)-Assumptions!$B$5*Assumptions!$B$8</f>
        <v>500166.70350000006</v>
      </c>
      <c r="G8" s="24">
        <f>G7*(1-Assumptions!$B$10)-Assumptions!$B$5*Assumptions!$B$8</f>
        <v>607883.0442</v>
      </c>
      <c r="H8" s="24">
        <f>H7*(1-Assumptions!$B$10)-Assumptions!$B$5*Assumptions!$B$8</f>
        <v>823315.72560000001</v>
      </c>
    </row>
    <row r="9" spans="1:8" ht="18" customHeight="1" x14ac:dyDescent="0.3">
      <c r="A9" s="15" t="s">
        <v>46</v>
      </c>
      <c r="B9" s="25">
        <f>B8/(Assumptions!$B$5*Assumptions!$B$8)</f>
        <v>1.8040177196407654</v>
      </c>
      <c r="C9" s="25">
        <f>C8/(Assumptions!$B$5*Assumptions!$B$8)</f>
        <v>4.6080354392815304</v>
      </c>
      <c r="D9" s="25">
        <f>D8/(Assumptions!$B$5*Assumptions!$B$8)</f>
        <v>7.412053158922296</v>
      </c>
      <c r="E9" s="25">
        <f>E8/(Assumptions!$B$5*Assumptions!$B$8)</f>
        <v>10.216070878563061</v>
      </c>
      <c r="F9" s="25">
        <f>F8/(Assumptions!$B$5*Assumptions!$B$8)</f>
        <v>13.020088598203829</v>
      </c>
      <c r="G9" s="25">
        <f>G8/(Assumptions!$B$5*Assumptions!$B$8)</f>
        <v>15.824106317844592</v>
      </c>
      <c r="H9" s="25">
        <f>H8/(Assumptions!$B$5*Assumptions!$B$8)</f>
        <v>21.432141757126121</v>
      </c>
    </row>
    <row r="11" spans="1:8" x14ac:dyDescent="0.3">
      <c r="A11" s="39" t="s">
        <v>63</v>
      </c>
      <c r="B11" s="36"/>
      <c r="C11" s="36"/>
      <c r="D11" s="36"/>
      <c r="E11" s="36"/>
      <c r="F11" s="36"/>
      <c r="G11" s="36"/>
      <c r="H11" s="36"/>
    </row>
    <row r="12" spans="1:8" x14ac:dyDescent="0.3">
      <c r="A12" s="36"/>
      <c r="B12" s="36"/>
      <c r="C12" s="36"/>
      <c r="D12" s="36"/>
      <c r="E12" s="36"/>
      <c r="F12" s="36"/>
      <c r="G12" s="36"/>
      <c r="H12" s="36"/>
    </row>
  </sheetData>
  <mergeCells count="3">
    <mergeCell ref="A11:H1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heetViews>
  <sheetFormatPr defaultRowHeight="14.4" x14ac:dyDescent="0.3"/>
  <cols>
    <col min="1" max="1" width="20" customWidth="1"/>
    <col min="2" max="3" width="16" customWidth="1"/>
    <col min="4" max="5" width="20" customWidth="1"/>
    <col min="6" max="6" width="34" customWidth="1"/>
  </cols>
  <sheetData>
    <row r="1" spans="1:6" ht="25.95" customHeight="1" x14ac:dyDescent="0.3">
      <c r="A1" s="35" t="s">
        <v>64</v>
      </c>
      <c r="B1" s="36"/>
      <c r="C1" s="36"/>
      <c r="D1" s="36"/>
      <c r="E1" s="36"/>
      <c r="F1" s="36"/>
    </row>
    <row r="3" spans="1:6" ht="24" customHeight="1" x14ac:dyDescent="0.3">
      <c r="A3" s="1" t="s">
        <v>65</v>
      </c>
      <c r="B3" s="1" t="s">
        <v>66</v>
      </c>
      <c r="C3" s="1" t="s">
        <v>67</v>
      </c>
      <c r="D3" s="1" t="s">
        <v>68</v>
      </c>
      <c r="E3" s="1" t="s">
        <v>69</v>
      </c>
      <c r="F3" s="1" t="s">
        <v>70</v>
      </c>
    </row>
    <row r="4" spans="1:6" ht="18" customHeight="1" x14ac:dyDescent="0.3">
      <c r="A4" s="26" t="s">
        <v>71</v>
      </c>
      <c r="B4" s="27">
        <v>2561</v>
      </c>
      <c r="C4" s="28">
        <v>0.48641975308641983</v>
      </c>
      <c r="D4" s="27">
        <v>2393696.46</v>
      </c>
      <c r="E4" s="27">
        <v>934.67257321358841</v>
      </c>
      <c r="F4" s="29" t="s">
        <v>72</v>
      </c>
    </row>
    <row r="5" spans="1:6" ht="18" customHeight="1" x14ac:dyDescent="0.3">
      <c r="A5" s="12" t="s">
        <v>73</v>
      </c>
      <c r="B5" s="13">
        <v>545</v>
      </c>
      <c r="C5" s="30">
        <v>0.10351377018043691</v>
      </c>
      <c r="D5" s="13">
        <v>1084640.8999999999</v>
      </c>
      <c r="E5" s="13">
        <v>1990.166788990826</v>
      </c>
      <c r="F5" s="14" t="s">
        <v>74</v>
      </c>
    </row>
    <row r="6" spans="1:6" ht="18" customHeight="1" x14ac:dyDescent="0.3">
      <c r="A6" s="15" t="s">
        <v>75</v>
      </c>
      <c r="B6" s="24">
        <v>2119</v>
      </c>
      <c r="C6" s="25">
        <v>0.40246913580246912</v>
      </c>
      <c r="D6" s="24">
        <v>11287498.92</v>
      </c>
      <c r="E6" s="24">
        <v>5326.8045870693732</v>
      </c>
      <c r="F6" s="17" t="s">
        <v>76</v>
      </c>
    </row>
    <row r="7" spans="1:6" x14ac:dyDescent="0.3">
      <c r="A7" s="31" t="s">
        <v>77</v>
      </c>
      <c r="B7" s="32">
        <v>5265</v>
      </c>
      <c r="C7" s="33">
        <v>1</v>
      </c>
      <c r="D7" s="32">
        <v>16686560.369999999</v>
      </c>
      <c r="E7" s="32">
        <v>3169.3372022792018</v>
      </c>
      <c r="F7" s="34"/>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Assumptions</vt:lpstr>
      <vt:lpstr>Intervention ROI</vt:lpstr>
      <vt:lpstr>Sensitivity</vt:lpstr>
      <vt:lpstr>Risk 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Placement Prep</cp:lastModifiedBy>
  <dcterms:created xsi:type="dcterms:W3CDTF">2026-08-17T19:47:28Z</dcterms:created>
  <dcterms:modified xsi:type="dcterms:W3CDTF">2026-08-17T19:48:53Z</dcterms:modified>
</cp:coreProperties>
</file>